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anthomas/Desktop/Baylor Lighting/"/>
    </mc:Choice>
  </mc:AlternateContent>
  <xr:revisionPtr revIDLastSave="0" documentId="13_ncr:1_{6B88A3A9-4C7D-534F-B4E0-4A450F00550B}" xr6:coauthVersionLast="47" xr6:coauthVersionMax="47" xr10:uidLastSave="{00000000-0000-0000-0000-000000000000}"/>
  <bookViews>
    <workbookView xWindow="0" yWindow="660" windowWidth="30240" windowHeight="17820" xr2:uid="{624388F4-49B7-E241-A3B3-9195F9B49A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F37" i="1"/>
  <c r="F34" i="1"/>
  <c r="F35" i="1"/>
  <c r="F36" i="1"/>
  <c r="F11" i="1"/>
  <c r="F32" i="1"/>
  <c r="F33" i="1"/>
  <c r="F30" i="1"/>
  <c r="F31" i="1"/>
  <c r="F29" i="1"/>
  <c r="F28" i="1"/>
  <c r="F27" i="1"/>
  <c r="F3" i="1"/>
  <c r="F4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F38" i="1" l="1"/>
</calcChain>
</file>

<file path=xl/sharedStrings.xml><?xml version="1.0" encoding="utf-8"?>
<sst xmlns="http://schemas.openxmlformats.org/spreadsheetml/2006/main" count="136" uniqueCount="107">
  <si>
    <t>Link</t>
  </si>
  <si>
    <t>Item</t>
  </si>
  <si>
    <t>Quantity</t>
  </si>
  <si>
    <t>Bonai Battery Charger</t>
  </si>
  <si>
    <t>Energizer Rechargable AA Batteries</t>
  </si>
  <si>
    <t>Unit Price</t>
  </si>
  <si>
    <t>Klein Tools Multimeter</t>
  </si>
  <si>
    <t>Microfiber Cleaning Cloth</t>
  </si>
  <si>
    <t>MaxTite Anhydrous Isopropyl Alcohol</t>
  </si>
  <si>
    <t>Menda 35299 One-Touch Dispenser</t>
  </si>
  <si>
    <t>https://www.amazon.com/dp/B09NW28R66?ref=cm_sw_r_cso_cp_apin_dp_QWQX529WD6FFTY3D7GCB&amp;social_share=cm_sw_r_cso_cp_apin_dp_QWQX529WD6FFTY3D7GCB&amp;badgeInsights=insights&amp;th=1</t>
  </si>
  <si>
    <t>https://www.amazon.com/dp/B07TD6BJ9G?ref=cm_sw_r_cso_cp_apin_dp_GC9Y97HD0273CFHXDJ9C&amp;social_share=cm_sw_r_cso_cp_apin_dp_GC9Y97HD0273CFHXDJ9C&amp;badgeInsights=insights&amp;th=1</t>
  </si>
  <si>
    <t>https://www.amazon.com/dp/B0B57PFFYX?_encoding=UTF8&amp;ref=cm_sw_r_cp_ud_dp_SCSY6AJ2B4XGQAHRNTBX&amp;social_share=cm_sw_r_cp_ud_dp_SCSY6AJ2B4XGQAHRNTBX&amp;th=1</t>
  </si>
  <si>
    <t>https://www.amazon.com/dp/B07GC9PCYF?ref=cm_sw_r_cp_ud_dp_KYMXPHDKF6GYBKAH36RY&amp;social_share=cm_sw_r_cp_ud_dp_KYMXPHDKF6GYBKAH36RY</t>
  </si>
  <si>
    <t>https://www.amazon.com/dp/B08JHBM3VY?ref=cm_sw_r_cp_ud_dp_N36Z5THDKK3GHCMR8VJB&amp;social_share=cm_sw_r_cp_ud_dp_N36Z5THDKK3GHCMR8VJB&amp;th=1</t>
  </si>
  <si>
    <t>https://www.amazon.com/Menda-High-Density-Polyethylene-Low-Density-MDA-5790-1/dp/B09RKKH2F3?dib=eyJ2IjoiMSJ9.TY4Oey9jIna1nTrx8dQwUcY8qQ7yQWusfY-pY5t2iR6md7W5B-dL43wSmAxOiLRBo-Q6bg6iqxJismn-romEFW3C4k2o5AvJmVzjaBT25FPDZp9EuvV4-me3qBjcKXpurwWEbGM7P24NY-ZYPwJSA0MKq4_jdDRHEScdSRTzhWJ6ZTYmvKWSxsLT2aaOjB5p96AQyEqfvjDUOOIBVLSt8ZItNJWULjhaVgAY5jUzV-0fBoO38azCEoIzia2Bjh3O1snX-V8GX-m5QgGnOmBNrX-ntaMt6UEIV66TJfpvTrw.K2KugpJyrFdd51d3_smwkoELUDo5CIxnSHmKYu6ShmU&amp;dib_tag=se&amp;qid=1781486656&amp;refinements=p_89%3AMenda&amp;sr=8-5&amp;srs=20221088011</t>
  </si>
  <si>
    <t>Elgato Stream Deck + XL</t>
  </si>
  <si>
    <t>https://www.amazon.com/Elgato-Stream-Deck-Customizable-Multifunction/dp/B0G7Y65YT9?ufe=app_do%3Aamzn1.fos.17d9e15d-4e43-4581-b373-0e5c1a776d5d</t>
  </si>
  <si>
    <t>Elgato Stream Deck MK.2</t>
  </si>
  <si>
    <t>https://www.amazon.com/Elgato-Stream-Deck-MK-2-Controller/dp/B09738CV2G?th=1</t>
  </si>
  <si>
    <t>Elgato Stream Deck XL</t>
  </si>
  <si>
    <t>https://www.amazon.com/Elgato-Stream-Deck-XL-customizable/dp/B07RL8H55Z?th=1</t>
  </si>
  <si>
    <t>Netgear GS308LP</t>
  </si>
  <si>
    <t>https://www.amazon.com/NETGEAR-Gigabit-Ethernet-Unmanaged-Essentials/dp/B0F6TPG846?crid=3SXJFAAQKQCEA&amp;dib=eyJ2IjoiMSJ9.0PVXuMriz_jxAj6xpYM-Fs6KgbHihdR-L8Ee0TwjrFVtO9cm12H6lkAHDE2ll-cZINhzS7SXQw6NsQ5Mz-__eWGH8s4JXRXNZKcj3LzrHgcboN2yxHkA9hlUYqQMBabQKqUwkK1I2NotGA5GTTsGkQ.L5rhrYRNPgn1nPvBdaKHr7opDp9oyKe3Qj0462FGUfs&amp;dib_tag=se&amp;keywords=GS308LP&amp;qid=1781489974&amp;sprefix=gs308lp%2Caps%2C254&amp;sr=8-3&amp;th=1</t>
  </si>
  <si>
    <t>White Cable Labels</t>
  </si>
  <si>
    <t>https://www.amazon.com/JIQEZNL-Electronics-Printable-Labeling-Management/dp/B09SFTQK62/ref=sr_1_4?crid=29U1JEGP9ZERW&amp;dib=eyJ2IjoiMSJ9.xZq-eqkVKJGhAVOrcDKudQww6hB3hWG79jZX8mNpYG4KGvFV832mEbXqy7_W7u3mSpeoz5o3zR_f5xPAVTxalX67F6epn2_TF-fVtlxtH_lmKkeu7wde1vpP4H9iFRo7RbJzNS60O62CPAmhTEtoPXRa-PYPfsvc1FPAIZewWygShhkeOBJ-08rIAI-_Ne6KM3EO4VrWtdPpSJe88LQdubTivGGXaa_nY4lJ41gKPgk.k_Hm_crweJZEtpxGd5dVlDTlwz8jVD1GnaViB-SXKlI&amp;dib_tag=se&amp;keywords=cable%2Bmanagement%2Blabels%2Bwhite&amp;qid=1781490129&amp;sprefix=cable%2Bmanagement%2Blabels%2Bwh%2Caps%2C324&amp;sr=8-4&amp;th=1</t>
  </si>
  <si>
    <t>Enttec D-Split DMX Splitter</t>
  </si>
  <si>
    <t>https://www.amazon.com/Enttec-D-Split-Isolated-Splitter-Isolator/dp/B09LRJP4MZ/ref=sr_1_18?crid=22O3JZ238L45&amp;dib=eyJ2IjoiMSJ9.GGX_-OW7lfZx87q1F7-EKYUAiaKub2jNANq0Dp-izUdLE7T0JWqHYkYKHnuR8gxecuVv9aSt_YumJy3OywDi8kytoH4pM_nuOTqKeu7s-jCtwhGv5B2aNuKDupTzRkw7PGyUSsGHlfs9ZkWo5esYOG0NvItNT_BuYWhf3quly8LCezbsTfDV9iwAkd5HZJNlC8aCpJqtb84NJyHlBgrztJagBo9GVb2tW3Yj0GdNoXFu9ZIvZ9Cgv3HxGI_xWToE_LnIfvXuME4dskOrZtxhIhAbG7T-FRANoZSrnJUTdb4.6tqwTh3zEf5NSCeGKU3jBWcxSUms6VW2zuDoS5oDgYk&amp;dib_tag=se&amp;keywords=XLR+5+pin+splitter+hub&amp;qid=1781490218&amp;sprefix=xlr+5+pin+splitter+hub%2Caps%2C212&amp;sr=8-18</t>
  </si>
  <si>
    <t>Klein Tools RJ45 Crimper and Tester</t>
  </si>
  <si>
    <t>https://www.amazon.com/Klein-Tools-80072-Stripper-Pass-Thru/dp/B09TPLNBQ2/ref=sr_1_7?crid=1QPE7PA5AKLI3&amp;dib=eyJ2IjoiMSJ9.gT8cdCb5SmHYiK5Mbd8hh2hqZRod_z0NG2mhp3Jpor2zwchlOumpy13vhp8Mf2asjZ8Nqy8vWG5JkGd92DZkH9xseuHhtxkUzbiH7NXZ6upz51IjUzcEbZpDo-JpEssuztGDLNI20o8PMm_XvonBRJlzHO2i7mJpqN9RH7Ctg8pHf8AvHij3PIGxa-5dyhw6kr5wWuLK5DCnuVTJvtmPSFhG6I_rn14wphL6S4EgbAZ7WSVxrebR81TzstaA5uQ458v8TzyxN4jV0kI-iGRrne_VZCISAlEjI-TfTlK02hU.E5c3WGXIN0LpHEKJB12a2cx43dTHNr0ex4vGlBgkvdY&amp;dib_tag=se&amp;keywords=klein%2Btools%2Brj45%2Bcrimper&amp;qid=1781490299&amp;sprefix=Klein%2BTools%2Brj%2Caps%2C298&amp;sr=8-7&amp;th=1</t>
  </si>
  <si>
    <t>https://www.amazon.com/AC-Infinity-CLOUDPLATE-Exhaust-Airflow/dp/B076CHYQ3K/ref=sr_1_9?crid=17BAOCXLCG50D&amp;dib=eyJ2IjoiMSJ9.3dg2QIIG4eHWM8vBavu-vPGXp6HEBpM3TzErMs5WZrNXECHt-2k3clBqwPYDgl5xMPL2_N9Fn7P55OmuXeXhlWua6wBU_RotMnv2H1pfsavJGLrOnH_3t77EIAaFZxC5e1PwVUmFZHNXGkZ_cDwF8uDYZ-sBii-VDs13-GJlpDUu2SHJR3VzCD9UduZMLLn20-s9F9zMpEjKxY_wKU6FV03t-y2kniLjISk0-uWIQGI._-Yblzpc318kFLXDyj_EpKyuUnsN5C2-dtGnVnS83so&amp;dib_tag=se&amp;keywords=1U+active+cooling&amp;qid=1781490562&amp;sprefix=1u+active+coolin%2Caps%2C301&amp;sr=8-9</t>
  </si>
  <si>
    <t>VEVOR Drawer 2U</t>
  </si>
  <si>
    <t>AC Infinity Cloudplate T1 1U</t>
  </si>
  <si>
    <t>https://www.amazon.com/VEVOR-Lockable-Equipment-Enclosure-Management/dp/B0FNW9DRDC/ref=sr_1_4?crid=XNGMKHB6RCIO&amp;dib=eyJ2IjoiMSJ9.pswYYy8jL-suqLdOBDQUbJXlGvXv44bhh1hOglohG4JXNZZJo9yBLhtPdpdofW25Rqptz9VPsNvJQFFzCQhuxd2pWLbJt-YzB8o8ccFc1XqbeJAw94SWkNtLQpVg0vC9u_rLwZpVNRT5gr275S4Y-NkftsDk_blQCZAwFs_HvyU6LEN0RUS-ch4LflyS7zPtBd1vL-hu-kveiiBEczhwOcUOst3E-zl682K2NNOf5Wg.8C5U2lzjDNnzUO537EGTN_SuIPk3j87iwH-zUtpuihk&amp;dib_tag=se&amp;keywords=2U%2Brack%2Bdrawer%2Bfor%2Bkeyboard&amp;qid=1781490921&amp;sprefix=2u%2Brack%2Bdrawer%2Bfor%2Bkeyboar%2Caps%2C262&amp;sr=8-4&amp;th=1</t>
  </si>
  <si>
    <t>Tecmojo Wall Mounted Server Rack 9U</t>
  </si>
  <si>
    <t>https://www.amazon.com/TECMOJO-Standard-Cabinet-Enclosure-Lockable/dp/B0BMD5G7M5/ref=sr_1_1?crid=1FUI1V8KZWPPG&amp;dib=eyJ2IjoiMSJ9.sGI0mLNFW-ItLPTVjczID34oxOXnq1cv5i14Z8LF_uBESk5-5TsyC9TWUyhJL5tIN-Wbn7UsquSAnDy-u6ZQ24ANmWJlwbRpwVb7CxYXjM2iTd3gXDVq7uBCa_p0uhKuk9PyllSO_Q1vzidKVkhoBKdsO41AzffqJrfPLqy5MyGz8AUbuafjsu5lFJ8HH3wGra02Bk-ZS7_OPFrhzRLus4cDxI257C2OU6qQB942iMI.3ApCg4f4YN1CtgfypRoXJpe3V1rsT59V5Vf2CX8Plxw&amp;dib_tag=se&amp;keywords=8U%2Brack%2Bwall%2Bmount%2Bwith%2Bglass%2Bdoor&amp;qid=1781490480&amp;sprefix=8u%2Brack%2Bwall%2Bmount%2Bwith%2Bglass%2Bdoo%2Caps%2C254&amp;sr=8-1&amp;th=1</t>
  </si>
  <si>
    <t>Beelink EQI12</t>
  </si>
  <si>
    <t>https://www.amazon.com/Beelink-i3-1220P-4-4GHz-Computer-Display/dp/B0F3X91S2L/ref=sr_1_3?crid=8CR105NUVPA6&amp;dib=eyJ2IjoiMSJ9.XQU-3-9bux3vajymwLjL6psVqvIVDv2IglLkBieftZIKONHe47vg6vTJOZJ5LGLwA7V7HJIsDYAW9OE2ou9PSGomJv3DvEnZDBLM4EfhlmxI_o4cjpSpZ7BuM9lteu9qgEBjw9p81boE5zjcKKY0-i0xzo8DvFolPWuBcxBXVmNk2d58JrYPTmjg-u0o-WLSOIEXgO93m7CyzxxT8Ucw8pBeZIIe7HjuEY2bGtrz_88.G5yW7XldJp6TH2qLvWKpqWl3wCsxi6WHNb8zuvnWyb4&amp;dib_tag=se&amp;keywords=Beelink%2BSEi12&amp;qid=1781495984&amp;sprefix=beelin%2Caps%2C341&amp;sr=8-3&amp;ufe=app_do%3Aamzn1.fos.17d9e15d-4e43-4581-b373-0e5c1a776d5d&amp;th=1</t>
  </si>
  <si>
    <t>Netgear GS316EP</t>
  </si>
  <si>
    <t>https://www.amazon.com/NETGEAR-16-Port-Gigabit-Ethernet-GS316EP/dp/B08VD4N2TN/ref=sr_1_1?crid=3PWOV0QC3PCL4&amp;dib=eyJ2IjoiMSJ9.xaXBecyTYQGsjLLCVcVSWrWF7gCROvecCPg0oyk9grd4l_kBGHHjdfoWHQLRD6ZcEtXt8d-hatKHxbz9GvmREbPsli5Fi6SM-8O3yzO224QwuZA7gfxyiH4cPwu8hYk9sexg7xa8aEMvjzlaFrbuXN2ITnP3JiV9OfqJnYP6SyhuIHp_pNxRK9cA9V7Z9toM.e3zi411xMkE-P6ovfx7gkcL2Pke1XW7I3eb1tlLk_5k&amp;dib_tag=se&amp;keywords=gs316ep&amp;qid=1781496116&amp;sprefix=gs316ep%2Caps%2C306&amp;sr=8-1&amp;th=1</t>
  </si>
  <si>
    <t>Furman M-8D Power Conditioner 1U</t>
  </si>
  <si>
    <t>https://www.amazon.com/Furman-Conditioner-Protector-Voltmeter-Electrical/dp/B07CHV3H5G/ref=sr_1_1?crid=O12XOSVKAQ2Y&amp;dib=eyJ2IjoiMSJ9.X8Z2UNuSHAllcU7GS7Ojiv3Peo1F8JqXa7T6jp8idiFvhTuAWCO8ZTmWzALwWg3JNhk2rtqTNjauR5G6cAwKfBW9Vlv1VnF6aJ-is7dFqLkGD956qJ62YCQmrfmOm04uPXu8S1sOpkGGBOeLIPtw2Cucf9WJs7urPMhxNXf2fzA.EY05y5VHYPG8VFAg-m8fm2Bj34FZ9UiEB842QE36x9c&amp;dib_tag=se&amp;keywords=furman+M-8z&amp;qid=1781496218&amp;sprefix=furman+m-8z%2Caps%2C232&amp;sr=8-1</t>
  </si>
  <si>
    <t>GL.iNet GL-A1300 Pocket Router</t>
  </si>
  <si>
    <t>https://www.amazon.com/GL-iNet-GL-A1300-Encrypted-Tethering-Pocket-Sized/dp/B0B4ZSR2PX/ref=sr_1_4?crid=MYBY0UZVS2OE&amp;dib=eyJ2IjoiMSJ9.15rx9WopWzK16jbLTQw4JG9zgP5MHNO18aD-86ZQBRa9A8w6IX4ZXEfasRoMbGr4er6t5Hr8Ycc-PV0vM3qS1o8rIQAp2xjWPYr0J9lJKnEAO8gz1DBpx_nPsqZFkuM7XXvep-Gh5JIEXwaOGuQb4E55bin7unihijC9-HX2moXImfIv-IG-7ypj3RNWHe0yOYvL2B_HRNsXjLb_-5hZTkKWBLyWjIvAWyI9EHvkq-4.cIAvX_LvqGZR2zmbO0AOwsUCI3ea8gGqCbnya8bJyik&amp;dib_tag=se&amp;keywords=gl.inet%2Bopal&amp;qid=1781496861&amp;sprefix=gl.inet%2Bopal%2Caps%2C229&amp;sr=8-4&amp;th=1</t>
  </si>
  <si>
    <t>Pyle Vented Shelf 1U</t>
  </si>
  <si>
    <t>https://www.amazon.com/Pyle-Circulation-Cantilever-Universal-PLRSTN14U/dp/B01HTG4WHY/ref=sr_1_4?crid=351DGHNWOR5F&amp;dib=eyJ2IjoiMSJ9.dJ8bBBvPj4BtarS0vTMX3V5FbEFEjynI95y3LxnKN2hoqLIe3RGH6THrjJxqMTq-3GsB9nYyKBefrBaDSzodwLn0NQs9o_bFTXrsdU6Fio7tPB9EUWP4r9L-1tWhb5zg6ZcsonB4AHc8ZeIVF6UuPiuvWGOcYyqh64qLjAmgeLF5Zqz9UqKkGGWYAnxNycnbyGoYjHfStsxMGoKrzEQR4wDyP01q_2gEXJtxJ6aQP0w.ooujia0k_SJUcgJgaNcErRK6r45Y4ZN_yKgd5GUHa2M&amp;dib_tag=se&amp;keywords=1u%2Brack%2Bshelf&amp;qid=1781497887&amp;sprefix=1u%2Brack%2Bshelf%2Caps%2C238&amp;sr=8-4&amp;th=1</t>
  </si>
  <si>
    <t>Brush Cable Organizer 1U</t>
  </si>
  <si>
    <t>https://www.amazon.com/Jingchengmei-Disassembled-Management-19-Inch-Cabinet/dp/B07V7B4DFX?crid=1L0OP1QODET7W&amp;dib=eyJ2IjoiMSJ9.eC0ZhAy3DlxTB_KUvR0v7_SedLGzl0x8_LMzzn7cLiL5boDgRs5FxMyBrRi-f4T8fDsn-wR7G1M93G2E3ODhVaaj0E9sfrFIatfuhpuz6LlHDoQ7ptLnMx2YjD-1qoN2-SWjWiOSKgHkHh3Tg1qB0V-YRaScYCqOxB49AT1Iraj5U9qN5bnku8xKjEsqAfoWv5QtgjadiJkstN2xN26uKF1hVG9MUeyq5sik5YBGOA3neJn67gUnqfp67chI_ybWMK0Tiatoal_cNS-5kG6oBUfGdLEQ95l8ifiuiw1dc4Y.cnGj356vQuXC5Vg32KJwlxcSX_V7Tojbw6miGK3F06s&amp;dib_tag=se&amp;keywords=Durarack+1U+Brush&amp;qid=1781498346&amp;sprefix=durarack+1u+brush+%2Caps%2C152&amp;sr=8-1</t>
  </si>
  <si>
    <t>Cost</t>
  </si>
  <si>
    <t>Cable Matters 24 Port Keystone Patch Panel 1U</t>
  </si>
  <si>
    <t>https://www.amazon.com/Cable-Matters-Mount-24-Port-Keystone/dp/B0072JVT02?crid=3DGVAE64OZMOR&amp;dib=eyJ2IjoiMSJ9.yp4s_9JPdOQhP8iX7GzgLVRkOBiiaCW7ZhMWbZzIM6Ool2Py5_EiL0KqCi7P-c8KJefOKnODSumMBBVeouOtzEljCGqQkdSQgvKE-lbK13hDWESJ1cudxGMDCIZDz_a_wwSQkFD0E3Uv0S9cGOvrdM5omNHkk0AnFO3bPNZvLK5J_nciHk-HQ3gQgDWk4YjmUafsGykFHnZiyJzfcQv1gJX43aXU9zvegNEKeKyr39U.eY0v-zjzFU6Qu6ds_uGt2dVfe6ilxCEgHJlp_kKA6dw&amp;dib_tag=se&amp;keywords=cable%2Bmatters%2B24%2Bport%2Bpatch%2Bpanel&amp;qid=1781498557&amp;sprefix=Cable%2BMatters%2B24%2Bpor%2Caps%2C213&amp;sr=8-1&amp;th=1</t>
  </si>
  <si>
    <t>Cable Matters Keystone Coupler 10 Pack</t>
  </si>
  <si>
    <t>https://www.amazon.com/Cable-Matters-10-Pack-Keystone-Ethernet/dp/B0CVR1DF9H/ref=sr_1_3?crid=1PMNT9NUAXUJ5&amp;dib=eyJ2IjoiMSJ9.BvU-gwRD6se72o5iA32Yq2tTMfelM_Y5V_m8yNwfW52_yegr_LRX2JX-b4mnRBO7Nfi9uuS8MF7Y9NSnMm_G5ZLMxWUug3NcIqpeS7NmBSUnYf-k8h2oF2WF0GVbx2ptLk9YFJczfuLE-sLhQ-wwzglCuyC6FJszAg4hC8wVRYapf2hn7l8jbPVJVPpPrjmqtVXxEgujjLZ-Wx6rS220CRcVxmHCuttUidJyC2mWuqo.kgDoROxSoUkxvwi2zF09aXIZ9KQ7fBWDLzwnBXV3CO8&amp;dib_tag=se&amp;keywords=cable%2Bmatters%2Bcat6%2Binline%2Bcoupler&amp;qid=1781498602&amp;sprefix=Cable%2BMatters%2Bcat6%2Binline%2Caps%2C209&amp;sr=8-3&amp;th=1</t>
  </si>
  <si>
    <t>Notes</t>
  </si>
  <si>
    <t>Face Mics</t>
  </si>
  <si>
    <t>https://www.amazon.com/Electric-Microphone-Microphones-Windscreens-Compatible/dp/B09GB1TTJ6/ref=sr_1_7?crid=2QGI8FWVPCUL2&amp;dib=eyJ2IjoiMSJ9.asd6ulJxR96J9ZfWeNzHBwBHndc1_urrjMErDQ7B2P6ncpujPOnoY3RToAyAq6iAYp6Veo324C8TpOEVnE0HdhALgxsj1Ebe2DENlW8b_o7wsQIdz69-Spbq9aPitwomaA0v2t4vATMXl638K9Z8HTydCABLRW_QZq4HHIyVvVAdBe_dwhnQ0V90lDjvsBXuTcEfOONEHxf9PKj7lAq0fRosOTqRkTZCj9B8ZzuMi6TFnf4cR_6B7tWPJXPPh-elK4IWQTyXFrZozJUumc3Euexy9pFqtI2wH3TvHbiT_hA.cbrkfSrhSxuxOe8jnPcQ2rMS1nH9M6E9vqr5RExeN2o&amp;dib_tag=se&amp;keywords=mini%2Bxlr%2Bover%2Bear%2Bmicrophone&amp;qid=1781498879&amp;sprefix=minixlr%2Bover%2Bear%2Caps%2C163&amp;sr=8-7&amp;th=1</t>
  </si>
  <si>
    <t>Not sure if this is the right brand, but you should get what we usually get.</t>
  </si>
  <si>
    <t>Blank Vented Panels 5 Pack 1U</t>
  </si>
  <si>
    <t>https://www.amazon.com/QiaoYoubang-Pack-Venting-Blank-Panel/dp/B0CTK7ZP2F/ref=sr_1_14?crid=25DK7Q2A5TK6H&amp;dib=eyJ2IjoiMSJ9.F8y9zwmcayWb9hvnwp7PEUEh6vIo7-C_9tkpoN2C8TtEwU3Q_2fqZoCD7Hm5KmyX-xAznzTQ3M0gKjMBjfaHydvtq3YyPAIj4HGi-LyeNUfUapqHPNKuXOc2V5NmNIdtENkRdLLahli_FYxtvmzQtLfznjR2lHGag655a5HE55j3c2ljFPBvvpEGhwl2sBGdsFQz8JpnN1HUO8AHYNcYtJF7H8mrBMTA-guLS-SD-ZY.FMBRCFQwf9GBDjRfhg0miCeQyKxMw1rNJahkPNn1xJI&amp;dib_tag=se&amp;keywords=Blank+rack+guard&amp;qid=1781499634&amp;sprefix=blank+rack+guard%2Caps%2C206&amp;sr=8-14</t>
  </si>
  <si>
    <t>AUDIX ADS48</t>
  </si>
  <si>
    <t>https://www.sweetwater.com/store/detail/ADS48--audix-ads48-antenna-distribution-system</t>
  </si>
  <si>
    <t>One of these will be for the Networking Rack and the other is for the Mic Rack</t>
  </si>
  <si>
    <t>Middle Atlantic ERK-2720</t>
  </si>
  <si>
    <t>Computer Jumpers</t>
  </si>
  <si>
    <t>https://www.amazon.com/California-JOS-Standard-Circuit-Connection/dp/B0BRK36G33/ref=sr_1_3?crid=3PPVFN4W9X15B&amp;dib=eyJ2IjoiMSJ9.QmgtC0e9tc_uBir06I2_Zjtjkju5YK26X6bag3vOS1HLgAdeiq685AaOrcr7MbfjlqRrafa_Gc0jRuOCZLMe-rzxNC1GqHvoFN2xcidOCCcBBCjlVCOZn92YFJXmUCF-gEjgoaTGL2NGVXLeD9De8V9DTfpIMVZxohIZ6ufpXSHlMOfwowxLM5ZXbjFgpvZk67thRvkq9T2f3vJ5pIXXdvy3TA6BRkF7KVnEasJDsSA.Oo0ZcTC4QYQPYcH7aq6zsoxDz2L18AU5xkyuficEB48&amp;dib_tag=se&amp;keywords=computer%2Bjumpers&amp;qid=1781501130&amp;sprefix=computer%2Bjumpers%2Caps%2C185&amp;sr=8-3&amp;th=1</t>
  </si>
  <si>
    <t>M6 Cage Nuts</t>
  </si>
  <si>
    <t>https://www.amazon.com/10-32-Rack-Screws-50-Pack-Accessories/dp/B09CDT8RP9/ref=sr_1_3?crid=8TIT2HEX3XD2&amp;dib=eyJ2IjoiMSJ9.9JFNh6b3JXtJFKhwPwmq4BkC8GwkJtz7bm-p6wvOyUIS76ev7tKSO_tIQQhen_Xms9wc52-J39M9SqNXfvlZnv-upq7bfWVaixjCsaVBMmb5B_xhDuWfDjApyyY-fLSh6EL2QpLM8oskmm-pecZZH6jKDj8y2pSGyicp1gIaSuRWzQkYSlr4znkCW9PINgMbCTP7LxwnNNcCVPhMbFvzV-aXe5XgbsyhqbBd_qjCc3E.rgUw08LT4f8OB-t-1mHrk29lFlb6iNVF95HtpcuDYe8&amp;dib_tag=se&amp;keywords=Rack%2BScrews&amp;qid=1781501710&amp;sprefix=rack%2Bscrew%2Caps%2C179&amp;sr=8-3&amp;th=1</t>
  </si>
  <si>
    <t>10-32 Rack Screws</t>
  </si>
  <si>
    <t>https://www.amazon.com/10-32-Rack-Screws-50-Pack-Accessories/dp/B08L3TDFTL/ref=sr_1_3?crid=8TIT2HEX3XD2&amp;dib=eyJ2IjoiMSJ9.9JFNh6b3JXtJFKhwPwmq4BkC8GwkJtz7bm-p6wvOyUIS76ev7tKSO_tIQQhen_Xms9wc52-J39M9SqNXfvlZnv-upq7bfWVaixjCsaVBMmb5B_xhDuWfDjApyyY-fLSh6EL2QpLM8oskmm-pecZZH6jKDj8y2pSGyicp1gIaSuRWzQkYSlr4znkCW9PINgMbCTP7LxwnNNcCVPhMbFvzV-aXe5XgbsyhqbBd_qjCc3E.rgUw08LT4f8OB-t-1mHrk29lFlb6iNVF95HtpcuDYe8&amp;dib_tag=se&amp;keywords=Rack%2BScrews&amp;qid=1781501710&amp;sprefix=rack%2Bscrew%2Caps%2C179&amp;sr=8-3&amp;th=1</t>
  </si>
  <si>
    <t>https://www.bhphotovideo.com/c/product/416321-REG/Middle_Atlantic_ERK_2720LRD_ERK_19_Stand_Alone_Enclosure.html/?ap=y&amp;ap=y&amp;smp=y&amp;smp=y&amp;store=420&amp;smpm=ba_f2_lar&amp;lsft=BI%3A6879&amp;gad_source=1&amp;gad_campaignid=15144575643&amp;gclid=Cj0KCQjwornRBhCrARIsAON5exHln0J4shMNi9hqvctJATcrZrdgiLNxKyhvf3EY40zT7DdRvHDmNcoaAul3EALw_wcB</t>
  </si>
  <si>
    <t>Get from Sweetwater, not BHPhoto</t>
  </si>
  <si>
    <t>TOTAL COST</t>
  </si>
  <si>
    <t>Elgato Network Dock</t>
  </si>
  <si>
    <t>https://www.amazon.com/Elgato-Network-Dock-Stream-Deck-Device/dp/B0FLG4TV4G/ref=ast_sto_dp_puis</t>
  </si>
  <si>
    <t>DIN Rail</t>
  </si>
  <si>
    <t>https://www.amazon.com/Aluminum-Included-Hardware-Components-Mounting/dp/B088FC2KB8?crid=310UFP78Y1HOG&amp;dib=eyJ2IjoiMSJ9.m54rwBU609JqJFK3ht_V7P4K2g7qMFxUq7_6oA869ucbB7mt9cslyxFEd_fPsVd1Hg_DPkpUSMIvc2gHlPp27o-JnaoM-Rn2xJnEZUdH2YwEr3GeDOURqr7qiu_5AqvxMtXADSgi_9NB4AOY0ztr2hqeqRYVC0gfQjS6nIrZyrKkk_Qhy-v4CP0oIVN_UeswfWm-PM8kUD2DLQMM4hA0zpBn8aCpXmBsUb7W0T1_g-4.Sg1UP_lYsB1ExjDLXZgrTUKkX7IFYCftlvHaTHNQkEY&amp;dib_tag=se&amp;keywords=wall%2Bmounted%2Bdin%2Brail%2Bblack&amp;qid=1781555846&amp;sprefix=wall%2Bmounted%2Bdin%2Brail%2Bblac%2Caps%2C166&amp;sr=8-4&amp;th=1</t>
  </si>
  <si>
    <t>Shelly Pro 1</t>
  </si>
  <si>
    <t>https://www.amazon.com/Shelly-1-Channel-Automation-Bluetooth-Compatible/dp/B0B4HMM362?crid=3IL4BFG26T4LR&amp;dib=eyJ2IjoiMSJ9.cvxbmxBcHiewd8vldBCx6PMpNODP1I6v1ey2-FoAheR71FJ5BxWDZOV_VWV8N5-K4x_g0Qkw3vX6uXwjRwgry3lXt6BB6Jk0jD6iC1YKkWYPoI0qR23W5uq1WigMjEe03prrFJp4QxCvEx-SsbAodg0mOAjyyErryry0OXm07qeatN8BUZjoKtb5XlvnDkY4csosA_ibSc33w47UHi7FAwoAd5T4lFi3qMtjyoZs-rA.dobXet9GxxrZs-iWUWlbjUSwE2uP6brDFlSzgWlkae4&amp;dib_tag=se&amp;keywords=shelly%2Bpro&amp;qid=1781555921&amp;sprefix=shelly%2Bpro%2Caps%2C235&amp;sr=8-3&amp;th=1</t>
  </si>
  <si>
    <t>Number</t>
  </si>
  <si>
    <t>Check</t>
  </si>
  <si>
    <t>Completed</t>
  </si>
  <si>
    <t>https://www.amazon.com/1000ft-Unshielded-Twisted-Ethernet-trueCABLE/dp/B07C848GTK/ref=sr_1_4?crid=28O8EQ5LWRLUI&amp;dib=eyJ2IjoiMSJ9.0usSW1zRG_uPAsiNKNTqBBMlxAapdrwEz37LnC8csfsvFhaw49p3O-HNse8kSntf56KjSxo6NFi6akGdzkln0w6rXuktF1kwjPeBFAGYZ9SEaHfs3HIGY97SMQrzykyEWiUnUrgZj1oj32-UtsynoNJiI5rqLOtr4gRy3Xh6PsWlhqTjKgH1_UfWzhRxId-Ui_-DMts80ZJTsf6x5abdUBtuU219-2yVQEbP7WmK31M.RZZN-LcGUVWO8N3PNDSNP0ufNZl-7zTxmUbFsZL6hyA&amp;dib_tag=se&amp;keywords=true%2Bcable%2Bcat6&amp;qid=1781633087&amp;sprefix=True%2BCable%2B%2Caps%2C188&amp;sr=8-4&amp;th=1</t>
  </si>
  <si>
    <t>1000ft Cat 6 Cable Spool</t>
  </si>
  <si>
    <t>Cat 6 RJ45 Terminations 100pc</t>
  </si>
  <si>
    <t>https://www.amazon.com/trueCABLE-Through-Shielded-External-Connector/dp/B088KSVHYR/ref=sr_1_16?crid=28O8EQ5LWRLUI&amp;dib=eyJ2IjoiMSJ9.0usSW1zRG_uPAsiNKNTqBBMlxAapdrwEz37LnC8csfsvFhaw49p3O-HNse8kSntf56KjSxo6NFi6akGdzkln0w6rXuktF1kwjPeBFAGYZ9SEaHfs3HIGY97SMQrzykyEWiUnUrgZj1oj32-UtsynoNJiI5rqLOtr4gRy3Xh6PsWlhqTjKgH1_UfWzhRxId-Ui_-DMts80ZJTsf6x5abdUBtuU219-2yVQEbP7WmK31M.RZZN-LcGUVWO8N3PNDSNP0ufNZl-7zTxmUbFsZL6hyA&amp;dib_tag=se&amp;keywords=true%2Bcable%2Bcat6&amp;qid=1781633087&amp;sprefix=True%2BCable%2B%2Caps%2C188&amp;sr=8-16&amp;th=1</t>
  </si>
  <si>
    <t>This is the one for backstage</t>
  </si>
  <si>
    <t>These are the ones for the doors</t>
  </si>
  <si>
    <t>This is the one for your office</t>
  </si>
  <si>
    <t>We need these to convert all of the stream decks to accept POE</t>
  </si>
  <si>
    <t>Getting 3 more would give us 8, so enough batteries to have a 2 show day</t>
  </si>
  <si>
    <t>This is the switch that would be above the theater backstage door</t>
  </si>
  <si>
    <t>This is so we could keep our current DMX run and then just add the new RJ45 run</t>
  </si>
  <si>
    <t>Network Rack</t>
  </si>
  <si>
    <t>They don't make the Antenna Distribution System (ADS) that we have anymore, so this is the new version</t>
  </si>
  <si>
    <t>To make the soundboard turn on when it recieves power</t>
  </si>
  <si>
    <t>This is to turn on the sound rack via an HTTP request</t>
  </si>
  <si>
    <t>Associated Project</t>
  </si>
  <si>
    <t>New Mics</t>
  </si>
  <si>
    <t>General Purpose</t>
  </si>
  <si>
    <t>Light Cleaning</t>
  </si>
  <si>
    <t>Network Rack / Sound Rack</t>
  </si>
  <si>
    <t>ETC 4WRD Color ii</t>
  </si>
  <si>
    <t>Sound Rack</t>
  </si>
  <si>
    <t>Stream Deck Remote System</t>
  </si>
  <si>
    <t>Network Rack / Stream Deck Remote System</t>
  </si>
  <si>
    <t>Network Rack / ETC 4WRD Color ii</t>
  </si>
  <si>
    <t>This switch would be in the Network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</si>
</sst>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6B24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83E38E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3" xfId="0" applyBorder="1"/>
    <xf numFmtId="164" fontId="1" fillId="2" borderId="7" xfId="0" applyNumberFormat="1" applyFont="1" applyFill="1" applyBorder="1"/>
    <xf numFmtId="0" fontId="0" fillId="0" borderId="4" xfId="0" applyBorder="1"/>
    <xf numFmtId="164" fontId="0" fillId="0" borderId="4" xfId="0" applyNumberFormat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8" xfId="0" applyFont="1" applyFill="1" applyBorder="1"/>
    <xf numFmtId="0" fontId="0" fillId="4" borderId="9" xfId="0" applyFont="1" applyFill="1" applyBorder="1"/>
    <xf numFmtId="0" fontId="0" fillId="5" borderId="9" xfId="0" applyFont="1" applyFill="1" applyBorder="1"/>
    <xf numFmtId="16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4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/>
    <xf numFmtId="0" fontId="0" fillId="0" borderId="0" xfId="0" applyBorder="1"/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4" borderId="9" xfId="0" applyNumberFormat="1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1" fillId="2" borderId="17" xfId="0" applyNumberFormat="1" applyFont="1" applyFill="1" applyBorder="1" applyAlignment="1">
      <alignment horizontal="center"/>
    </xf>
    <xf numFmtId="0" fontId="0" fillId="5" borderId="11" xfId="0" applyFont="1" applyFill="1" applyBorder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&quot;$&quot;#,##0.0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colors>
    <mruColors>
      <color rgb="FF83E38E"/>
      <color rgb="FF1A6B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30752C-A45E-DB41-8528-B5BF444C6D7E}" name="Table2" displayName="Table2" ref="A1:I37" totalsRowShown="0">
  <autoFilter ref="A1:I37" xr:uid="{9330752C-A45E-DB41-8528-B5BF444C6D7E}"/>
  <tableColumns count="9">
    <tableColumn id="1" xr3:uid="{D2AFBE83-C4F6-CE40-97D7-2C7BC26B0CFA}" name="Number"/>
    <tableColumn id="2" xr3:uid="{10B965D3-5AD1-9E43-BE11-F2FEFD3391AD}" name="Item"/>
    <tableColumn id="3" xr3:uid="{FF5B2BBE-3B5A-B743-BAE6-D26AE39CCF9B}" name="Quantity"/>
    <tableColumn id="4" xr3:uid="{A5BDBEFB-AB1C-FA45-A259-6B530EBC0D00}" name="Link"/>
    <tableColumn id="5" xr3:uid="{94C3481D-D089-F244-803B-CC71BF8D7182}" name="Unit Price" dataDxfId="3"/>
    <tableColumn id="6" xr3:uid="{F9E5997A-A3C6-5B4C-8FAC-095DCE05C25C}" name="Cost" dataDxfId="2">
      <calculatedColumnFormula>E2*C2</calculatedColumnFormula>
    </tableColumn>
    <tableColumn id="8" xr3:uid="{B1A60A03-D94B-8849-AEF7-A02B17EE08AF}" name="Check" dataDxfId="1"/>
    <tableColumn id="7" xr3:uid="{AC0E0120-8198-844B-85A2-22D1653C8117}" name="Associated Project"/>
    <tableColumn id="9" xr3:uid="{8EC8B9FD-5E1E-8547-BFBF-01EA3606C79A}" name="Notes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8364-7EEB-A74A-9AAD-A978C89B3091}">
  <sheetPr>
    <pageSetUpPr fitToPage="1"/>
  </sheetPr>
  <dimension ref="A1:L39"/>
  <sheetViews>
    <sheetView tabSelected="1" zoomScale="85" zoomScaleNormal="100" workbookViewId="0">
      <selection activeCell="I42" sqref="I42"/>
    </sheetView>
  </sheetViews>
  <sheetFormatPr baseColWidth="10" defaultRowHeight="16" x14ac:dyDescent="0.2"/>
  <cols>
    <col min="1" max="1" width="10.83203125" customWidth="1"/>
    <col min="2" max="2" width="41.5" bestFit="1" customWidth="1"/>
    <col min="5" max="5" width="11.33203125" style="1" customWidth="1"/>
    <col min="8" max="8" width="37.6640625" bestFit="1" customWidth="1"/>
    <col min="9" max="9" width="85.6640625" bestFit="1" customWidth="1"/>
  </cols>
  <sheetData>
    <row r="1" spans="1:12" ht="17" thickBot="1" x14ac:dyDescent="0.25">
      <c r="A1" t="s">
        <v>78</v>
      </c>
      <c r="B1" t="s">
        <v>1</v>
      </c>
      <c r="C1" t="s">
        <v>2</v>
      </c>
      <c r="D1" t="s">
        <v>0</v>
      </c>
      <c r="E1" t="s">
        <v>5</v>
      </c>
      <c r="F1" t="s">
        <v>48</v>
      </c>
      <c r="G1" t="s">
        <v>79</v>
      </c>
      <c r="H1" t="s">
        <v>96</v>
      </c>
      <c r="I1" s="10" t="s">
        <v>53</v>
      </c>
    </row>
    <row r="2" spans="1:12" ht="18" thickTop="1" thickBot="1" x14ac:dyDescent="0.25">
      <c r="A2">
        <v>1</v>
      </c>
      <c r="B2" t="s">
        <v>3</v>
      </c>
      <c r="C2">
        <v>3</v>
      </c>
      <c r="D2" t="s">
        <v>10</v>
      </c>
      <c r="E2" s="1">
        <v>29.44</v>
      </c>
      <c r="F2" s="1">
        <f>E2*C2</f>
        <v>88.320000000000007</v>
      </c>
      <c r="G2" s="13" t="b">
        <v>0</v>
      </c>
      <c r="H2" s="15" t="s">
        <v>97</v>
      </c>
      <c r="I2" s="11" t="s">
        <v>89</v>
      </c>
      <c r="K2" s="19" t="s">
        <v>80</v>
      </c>
      <c r="L2" s="20"/>
    </row>
    <row r="3" spans="1:12" x14ac:dyDescent="0.2">
      <c r="A3">
        <v>2</v>
      </c>
      <c r="B3" t="s">
        <v>4</v>
      </c>
      <c r="C3">
        <v>3</v>
      </c>
      <c r="D3" t="s">
        <v>11</v>
      </c>
      <c r="E3" s="1">
        <v>38.36</v>
      </c>
      <c r="F3" s="1">
        <f t="shared" ref="F3:F31" si="0">E3*C3</f>
        <v>115.08</v>
      </c>
      <c r="G3" s="13" t="b">
        <v>0</v>
      </c>
      <c r="H3" s="15" t="s">
        <v>97</v>
      </c>
      <c r="I3" s="12" t="s">
        <v>89</v>
      </c>
      <c r="J3" s="3"/>
      <c r="K3" s="17" t="str">
        <f>COUNTIF(G:G, TRUE) &amp; " out of " &amp; COUNTIF(G:G, TRUE) + COUNTIF(G:G, FALSE)</f>
        <v>0 out of 36</v>
      </c>
      <c r="L3" s="18"/>
    </row>
    <row r="4" spans="1:12" x14ac:dyDescent="0.2">
      <c r="A4">
        <v>3</v>
      </c>
      <c r="B4" t="s">
        <v>6</v>
      </c>
      <c r="C4">
        <v>1</v>
      </c>
      <c r="D4" t="s">
        <v>12</v>
      </c>
      <c r="E4" s="1">
        <v>64.98</v>
      </c>
      <c r="F4" s="1">
        <f t="shared" si="0"/>
        <v>64.98</v>
      </c>
      <c r="G4" s="13" t="b">
        <v>0</v>
      </c>
      <c r="H4" t="s">
        <v>98</v>
      </c>
      <c r="I4" s="11"/>
      <c r="J4" s="16"/>
      <c r="K4" s="16"/>
    </row>
    <row r="5" spans="1:12" x14ac:dyDescent="0.2">
      <c r="A5">
        <v>4</v>
      </c>
      <c r="B5" t="s">
        <v>7</v>
      </c>
      <c r="C5">
        <v>1</v>
      </c>
      <c r="D5" t="s">
        <v>13</v>
      </c>
      <c r="E5" s="1">
        <v>25.29</v>
      </c>
      <c r="F5" s="1">
        <f t="shared" si="0"/>
        <v>25.29</v>
      </c>
      <c r="G5" s="13" t="b">
        <v>0</v>
      </c>
      <c r="H5" t="s">
        <v>99</v>
      </c>
      <c r="I5" s="12"/>
    </row>
    <row r="6" spans="1:12" x14ac:dyDescent="0.2">
      <c r="A6">
        <v>5</v>
      </c>
      <c r="B6" t="s">
        <v>8</v>
      </c>
      <c r="C6">
        <v>1</v>
      </c>
      <c r="D6" t="s">
        <v>14</v>
      </c>
      <c r="E6" s="1">
        <v>26.99</v>
      </c>
      <c r="F6" s="1">
        <f t="shared" si="0"/>
        <v>26.99</v>
      </c>
      <c r="G6" s="13" t="b">
        <v>0</v>
      </c>
      <c r="H6" t="s">
        <v>99</v>
      </c>
      <c r="I6" s="11"/>
    </row>
    <row r="7" spans="1:12" x14ac:dyDescent="0.2">
      <c r="A7">
        <v>6</v>
      </c>
      <c r="B7" t="s">
        <v>9</v>
      </c>
      <c r="C7">
        <v>1</v>
      </c>
      <c r="D7" t="s">
        <v>15</v>
      </c>
      <c r="E7" s="1">
        <v>32.56</v>
      </c>
      <c r="F7" s="1">
        <f t="shared" si="0"/>
        <v>32.56</v>
      </c>
      <c r="G7" s="13" t="b">
        <v>0</v>
      </c>
      <c r="H7" t="s">
        <v>99</v>
      </c>
      <c r="I7" s="12"/>
    </row>
    <row r="8" spans="1:12" x14ac:dyDescent="0.2">
      <c r="A8">
        <v>7</v>
      </c>
      <c r="B8" t="s">
        <v>16</v>
      </c>
      <c r="C8">
        <v>1</v>
      </c>
      <c r="D8" t="s">
        <v>17</v>
      </c>
      <c r="E8" s="1">
        <v>349.99</v>
      </c>
      <c r="F8" s="1">
        <f t="shared" si="0"/>
        <v>349.99</v>
      </c>
      <c r="G8" s="13" t="b">
        <v>0</v>
      </c>
      <c r="H8" t="s">
        <v>104</v>
      </c>
      <c r="I8" s="11" t="s">
        <v>85</v>
      </c>
    </row>
    <row r="9" spans="1:12" x14ac:dyDescent="0.2">
      <c r="A9">
        <v>8</v>
      </c>
      <c r="B9" t="s">
        <v>18</v>
      </c>
      <c r="C9">
        <v>2</v>
      </c>
      <c r="D9" t="s">
        <v>19</v>
      </c>
      <c r="E9" s="1">
        <v>149.99</v>
      </c>
      <c r="F9" s="1">
        <f t="shared" si="0"/>
        <v>299.98</v>
      </c>
      <c r="G9" s="13" t="b">
        <v>0</v>
      </c>
      <c r="H9" t="s">
        <v>104</v>
      </c>
      <c r="I9" s="12" t="s">
        <v>86</v>
      </c>
    </row>
    <row r="10" spans="1:12" x14ac:dyDescent="0.2">
      <c r="A10">
        <v>9</v>
      </c>
      <c r="B10" t="s">
        <v>20</v>
      </c>
      <c r="C10">
        <v>1</v>
      </c>
      <c r="D10" t="s">
        <v>21</v>
      </c>
      <c r="E10" s="1">
        <v>219.99</v>
      </c>
      <c r="F10" s="1">
        <f t="shared" si="0"/>
        <v>219.99</v>
      </c>
      <c r="G10" s="13" t="b">
        <v>0</v>
      </c>
      <c r="H10" t="s">
        <v>104</v>
      </c>
      <c r="I10" s="11" t="s">
        <v>87</v>
      </c>
    </row>
    <row r="11" spans="1:12" x14ac:dyDescent="0.2">
      <c r="A11">
        <v>10</v>
      </c>
      <c r="B11" t="s">
        <v>72</v>
      </c>
      <c r="C11">
        <v>5</v>
      </c>
      <c r="D11" t="s">
        <v>73</v>
      </c>
      <c r="E11" s="1">
        <v>79.989999999999995</v>
      </c>
      <c r="F11" s="1">
        <f>E11*C11</f>
        <v>399.95</v>
      </c>
      <c r="G11" s="13" t="b">
        <v>0</v>
      </c>
      <c r="H11" t="s">
        <v>104</v>
      </c>
      <c r="I11" s="12" t="s">
        <v>88</v>
      </c>
    </row>
    <row r="12" spans="1:12" x14ac:dyDescent="0.2">
      <c r="A12">
        <v>11</v>
      </c>
      <c r="B12" t="s">
        <v>22</v>
      </c>
      <c r="C12">
        <v>1</v>
      </c>
      <c r="D12" t="s">
        <v>23</v>
      </c>
      <c r="E12" s="1">
        <v>54.99</v>
      </c>
      <c r="F12" s="1">
        <f t="shared" si="0"/>
        <v>54.99</v>
      </c>
      <c r="G12" s="13" t="b">
        <v>0</v>
      </c>
      <c r="H12" t="s">
        <v>92</v>
      </c>
      <c r="I12" s="11" t="s">
        <v>90</v>
      </c>
    </row>
    <row r="13" spans="1:12" x14ac:dyDescent="0.2">
      <c r="A13">
        <v>12</v>
      </c>
      <c r="B13" t="s">
        <v>24</v>
      </c>
      <c r="C13">
        <v>1</v>
      </c>
      <c r="D13" t="s">
        <v>25</v>
      </c>
      <c r="E13" s="1">
        <v>5.97</v>
      </c>
      <c r="F13" s="1">
        <f t="shared" si="0"/>
        <v>5.97</v>
      </c>
      <c r="G13" s="13" t="b">
        <v>0</v>
      </c>
      <c r="H13" t="s">
        <v>100</v>
      </c>
      <c r="I13" s="12"/>
    </row>
    <row r="14" spans="1:12" x14ac:dyDescent="0.2">
      <c r="A14">
        <v>13</v>
      </c>
      <c r="B14" t="s">
        <v>26</v>
      </c>
      <c r="C14">
        <v>1</v>
      </c>
      <c r="D14" t="s">
        <v>27</v>
      </c>
      <c r="E14" s="1">
        <v>133</v>
      </c>
      <c r="F14" s="1">
        <f t="shared" si="0"/>
        <v>133</v>
      </c>
      <c r="G14" s="13" t="b">
        <v>0</v>
      </c>
      <c r="H14" t="s">
        <v>101</v>
      </c>
      <c r="I14" s="11" t="s">
        <v>91</v>
      </c>
    </row>
    <row r="15" spans="1:12" x14ac:dyDescent="0.2">
      <c r="A15">
        <v>14</v>
      </c>
      <c r="B15" t="s">
        <v>28</v>
      </c>
      <c r="C15">
        <v>1</v>
      </c>
      <c r="D15" t="s">
        <v>29</v>
      </c>
      <c r="E15" s="1">
        <v>114.99</v>
      </c>
      <c r="F15" s="1">
        <f t="shared" si="0"/>
        <v>114.99</v>
      </c>
      <c r="G15" s="13" t="b">
        <v>0</v>
      </c>
      <c r="H15" t="s">
        <v>98</v>
      </c>
      <c r="I15" s="12"/>
    </row>
    <row r="16" spans="1:12" x14ac:dyDescent="0.2">
      <c r="A16">
        <v>15</v>
      </c>
      <c r="B16" t="s">
        <v>34</v>
      </c>
      <c r="C16">
        <v>1</v>
      </c>
      <c r="D16" t="s">
        <v>35</v>
      </c>
      <c r="E16" s="1">
        <v>149.9</v>
      </c>
      <c r="F16" s="1">
        <f t="shared" si="0"/>
        <v>149.9</v>
      </c>
      <c r="G16" s="13" t="b">
        <v>0</v>
      </c>
      <c r="H16" t="s">
        <v>92</v>
      </c>
      <c r="I16" s="11"/>
    </row>
    <row r="17" spans="1:9" x14ac:dyDescent="0.2">
      <c r="A17">
        <v>16</v>
      </c>
      <c r="B17" t="s">
        <v>32</v>
      </c>
      <c r="C17">
        <v>1</v>
      </c>
      <c r="D17" t="s">
        <v>30</v>
      </c>
      <c r="E17" s="1">
        <v>139</v>
      </c>
      <c r="F17" s="1">
        <f t="shared" si="0"/>
        <v>139</v>
      </c>
      <c r="G17" s="13" t="b">
        <v>0</v>
      </c>
      <c r="H17" t="s">
        <v>92</v>
      </c>
      <c r="I17" s="12"/>
    </row>
    <row r="18" spans="1:9" x14ac:dyDescent="0.2">
      <c r="A18">
        <v>17</v>
      </c>
      <c r="B18" t="s">
        <v>31</v>
      </c>
      <c r="C18">
        <v>1</v>
      </c>
      <c r="D18" t="s">
        <v>33</v>
      </c>
      <c r="E18" s="1">
        <v>44.39</v>
      </c>
      <c r="F18" s="1">
        <f t="shared" si="0"/>
        <v>44.39</v>
      </c>
      <c r="G18" s="13" t="b">
        <v>0</v>
      </c>
      <c r="H18" t="s">
        <v>92</v>
      </c>
      <c r="I18" s="11"/>
    </row>
    <row r="19" spans="1:9" x14ac:dyDescent="0.2">
      <c r="A19">
        <v>18</v>
      </c>
      <c r="B19" t="s">
        <v>36</v>
      </c>
      <c r="C19">
        <v>1</v>
      </c>
      <c r="D19" t="s">
        <v>37</v>
      </c>
      <c r="E19" s="1">
        <v>399</v>
      </c>
      <c r="F19" s="1">
        <f t="shared" si="0"/>
        <v>399</v>
      </c>
      <c r="G19" s="13" t="b">
        <v>0</v>
      </c>
      <c r="H19" t="s">
        <v>92</v>
      </c>
      <c r="I19" s="12"/>
    </row>
    <row r="20" spans="1:9" x14ac:dyDescent="0.2">
      <c r="A20">
        <v>19</v>
      </c>
      <c r="B20" t="s">
        <v>38</v>
      </c>
      <c r="C20">
        <v>1</v>
      </c>
      <c r="D20" t="s">
        <v>39</v>
      </c>
      <c r="E20" s="1">
        <v>179.99</v>
      </c>
      <c r="F20" s="1">
        <f t="shared" si="0"/>
        <v>179.99</v>
      </c>
      <c r="G20" s="13" t="b">
        <v>0</v>
      </c>
      <c r="H20" t="s">
        <v>92</v>
      </c>
      <c r="I20" s="11" t="s">
        <v>106</v>
      </c>
    </row>
    <row r="21" spans="1:9" x14ac:dyDescent="0.2">
      <c r="A21">
        <v>20</v>
      </c>
      <c r="B21" t="s">
        <v>40</v>
      </c>
      <c r="C21">
        <v>2</v>
      </c>
      <c r="D21" t="s">
        <v>41</v>
      </c>
      <c r="E21" s="1">
        <v>199.95</v>
      </c>
      <c r="F21" s="1">
        <f t="shared" si="0"/>
        <v>399.9</v>
      </c>
      <c r="G21" s="13" t="b">
        <v>0</v>
      </c>
      <c r="H21" t="s">
        <v>100</v>
      </c>
      <c r="I21" s="12" t="s">
        <v>61</v>
      </c>
    </row>
    <row r="22" spans="1:9" x14ac:dyDescent="0.2">
      <c r="A22">
        <v>21</v>
      </c>
      <c r="B22" t="s">
        <v>42</v>
      </c>
      <c r="C22">
        <v>1</v>
      </c>
      <c r="D22" t="s">
        <v>43</v>
      </c>
      <c r="E22" s="1">
        <v>69.989999999999995</v>
      </c>
      <c r="F22" s="1">
        <f t="shared" si="0"/>
        <v>69.989999999999995</v>
      </c>
      <c r="G22" s="13" t="b">
        <v>0</v>
      </c>
      <c r="H22" t="s">
        <v>92</v>
      </c>
      <c r="I22" s="11"/>
    </row>
    <row r="23" spans="1:9" x14ac:dyDescent="0.2">
      <c r="A23">
        <v>22</v>
      </c>
      <c r="B23" t="s">
        <v>44</v>
      </c>
      <c r="C23">
        <v>1</v>
      </c>
      <c r="D23" t="s">
        <v>45</v>
      </c>
      <c r="E23" s="1">
        <v>21.99</v>
      </c>
      <c r="F23" s="1">
        <f t="shared" si="0"/>
        <v>21.99</v>
      </c>
      <c r="G23" s="13" t="b">
        <v>0</v>
      </c>
      <c r="H23" t="s">
        <v>92</v>
      </c>
      <c r="I23" s="12"/>
    </row>
    <row r="24" spans="1:9" x14ac:dyDescent="0.2">
      <c r="A24">
        <v>23</v>
      </c>
      <c r="B24" t="s">
        <v>49</v>
      </c>
      <c r="C24">
        <v>1</v>
      </c>
      <c r="D24" t="s">
        <v>50</v>
      </c>
      <c r="E24" s="1">
        <v>29.99</v>
      </c>
      <c r="F24" s="1">
        <f t="shared" si="0"/>
        <v>29.99</v>
      </c>
      <c r="G24" s="13" t="b">
        <v>0</v>
      </c>
      <c r="H24" t="s">
        <v>92</v>
      </c>
      <c r="I24" s="11"/>
    </row>
    <row r="25" spans="1:9" x14ac:dyDescent="0.2">
      <c r="A25">
        <v>24</v>
      </c>
      <c r="B25" t="s">
        <v>51</v>
      </c>
      <c r="C25">
        <v>3</v>
      </c>
      <c r="D25" t="s">
        <v>52</v>
      </c>
      <c r="E25" s="1">
        <v>21.99</v>
      </c>
      <c r="F25" s="1">
        <f t="shared" si="0"/>
        <v>65.97</v>
      </c>
      <c r="G25" s="13" t="b">
        <v>0</v>
      </c>
      <c r="H25" t="s">
        <v>92</v>
      </c>
      <c r="I25" s="12"/>
    </row>
    <row r="26" spans="1:9" x14ac:dyDescent="0.2">
      <c r="A26">
        <v>25</v>
      </c>
      <c r="B26" t="s">
        <v>46</v>
      </c>
      <c r="C26">
        <v>2</v>
      </c>
      <c r="D26" t="s">
        <v>47</v>
      </c>
      <c r="E26" s="1">
        <v>15.99</v>
      </c>
      <c r="F26" s="1">
        <f t="shared" si="0"/>
        <v>31.98</v>
      </c>
      <c r="G26" s="13" t="b">
        <v>0</v>
      </c>
      <c r="H26" t="s">
        <v>100</v>
      </c>
      <c r="I26" s="11" t="s">
        <v>61</v>
      </c>
    </row>
    <row r="27" spans="1:9" x14ac:dyDescent="0.2">
      <c r="A27">
        <v>26</v>
      </c>
      <c r="B27" t="s">
        <v>54</v>
      </c>
      <c r="C27">
        <v>10</v>
      </c>
      <c r="D27" t="s">
        <v>55</v>
      </c>
      <c r="E27" s="1">
        <v>19.989999999999998</v>
      </c>
      <c r="F27" s="1">
        <f t="shared" si="0"/>
        <v>199.89999999999998</v>
      </c>
      <c r="G27" s="13" t="b">
        <v>0</v>
      </c>
      <c r="H27" t="s">
        <v>97</v>
      </c>
      <c r="I27" s="12" t="s">
        <v>56</v>
      </c>
    </row>
    <row r="28" spans="1:9" x14ac:dyDescent="0.2">
      <c r="A28">
        <v>27</v>
      </c>
      <c r="B28" t="s">
        <v>57</v>
      </c>
      <c r="C28">
        <v>2</v>
      </c>
      <c r="D28" t="s">
        <v>58</v>
      </c>
      <c r="E28" s="1">
        <v>29.99</v>
      </c>
      <c r="F28" s="1">
        <f t="shared" si="0"/>
        <v>59.98</v>
      </c>
      <c r="G28" s="13" t="b">
        <v>0</v>
      </c>
      <c r="H28" t="s">
        <v>100</v>
      </c>
      <c r="I28" s="21"/>
    </row>
    <row r="29" spans="1:9" x14ac:dyDescent="0.2">
      <c r="A29">
        <v>28</v>
      </c>
      <c r="B29" t="s">
        <v>59</v>
      </c>
      <c r="C29">
        <v>2</v>
      </c>
      <c r="D29" t="s">
        <v>60</v>
      </c>
      <c r="E29" s="1">
        <v>699</v>
      </c>
      <c r="F29" s="1">
        <f t="shared" si="0"/>
        <v>1398</v>
      </c>
      <c r="G29" s="13" t="b">
        <v>0</v>
      </c>
      <c r="H29" t="s">
        <v>102</v>
      </c>
      <c r="I29" s="12" t="s">
        <v>93</v>
      </c>
    </row>
    <row r="30" spans="1:9" x14ac:dyDescent="0.2">
      <c r="A30">
        <v>29</v>
      </c>
      <c r="B30" t="s">
        <v>62</v>
      </c>
      <c r="C30">
        <v>1</v>
      </c>
      <c r="D30" t="s">
        <v>69</v>
      </c>
      <c r="E30" s="1">
        <v>989.1</v>
      </c>
      <c r="F30" s="1">
        <f t="shared" si="0"/>
        <v>989.1</v>
      </c>
      <c r="G30" s="13" t="b">
        <v>0</v>
      </c>
      <c r="H30" t="s">
        <v>102</v>
      </c>
      <c r="I30" s="11" t="s">
        <v>70</v>
      </c>
    </row>
    <row r="31" spans="1:9" x14ac:dyDescent="0.2">
      <c r="A31">
        <v>30</v>
      </c>
      <c r="B31" t="s">
        <v>63</v>
      </c>
      <c r="C31">
        <v>1</v>
      </c>
      <c r="D31" t="s">
        <v>64</v>
      </c>
      <c r="E31" s="1">
        <v>4.97</v>
      </c>
      <c r="F31" s="1">
        <f t="shared" si="0"/>
        <v>4.97</v>
      </c>
      <c r="G31" s="13" t="b">
        <v>0</v>
      </c>
      <c r="H31" t="s">
        <v>103</v>
      </c>
      <c r="I31" s="12" t="s">
        <v>94</v>
      </c>
    </row>
    <row r="32" spans="1:9" x14ac:dyDescent="0.2">
      <c r="A32">
        <v>31</v>
      </c>
      <c r="B32" t="s">
        <v>74</v>
      </c>
      <c r="C32">
        <v>1</v>
      </c>
      <c r="D32" t="s">
        <v>75</v>
      </c>
      <c r="E32" s="1">
        <v>6.99</v>
      </c>
      <c r="F32" s="1">
        <f>E32*C32</f>
        <v>6.99</v>
      </c>
      <c r="G32" s="13" t="b">
        <v>0</v>
      </c>
      <c r="H32" t="s">
        <v>103</v>
      </c>
      <c r="I32" s="11" t="s">
        <v>95</v>
      </c>
    </row>
    <row r="33" spans="1:9" x14ac:dyDescent="0.2">
      <c r="A33">
        <v>32</v>
      </c>
      <c r="B33" t="s">
        <v>76</v>
      </c>
      <c r="C33">
        <v>4</v>
      </c>
      <c r="D33" t="s">
        <v>77</v>
      </c>
      <c r="E33" s="1">
        <v>69.989999999999995</v>
      </c>
      <c r="F33" s="1">
        <f>E33*C33</f>
        <v>279.95999999999998</v>
      </c>
      <c r="G33" s="13" t="b">
        <v>0</v>
      </c>
      <c r="H33" t="s">
        <v>103</v>
      </c>
      <c r="I33" s="12" t="s">
        <v>95</v>
      </c>
    </row>
    <row r="34" spans="1:9" x14ac:dyDescent="0.2">
      <c r="A34">
        <v>33</v>
      </c>
      <c r="B34" t="s">
        <v>65</v>
      </c>
      <c r="C34">
        <v>1</v>
      </c>
      <c r="D34" t="s">
        <v>66</v>
      </c>
      <c r="E34" s="1">
        <v>13.99</v>
      </c>
      <c r="F34" s="1">
        <f>E34*C34</f>
        <v>13.99</v>
      </c>
      <c r="G34" s="13" t="b">
        <v>0</v>
      </c>
      <c r="H34" t="s">
        <v>100</v>
      </c>
      <c r="I34" s="11"/>
    </row>
    <row r="35" spans="1:9" ht="17" thickBot="1" x14ac:dyDescent="0.25">
      <c r="A35">
        <v>34</v>
      </c>
      <c r="B35" s="5" t="s">
        <v>67</v>
      </c>
      <c r="C35" s="5">
        <v>1</v>
      </c>
      <c r="D35" s="5" t="s">
        <v>68</v>
      </c>
      <c r="E35" s="6">
        <v>13.99</v>
      </c>
      <c r="F35" s="1">
        <f>E35*C35</f>
        <v>13.99</v>
      </c>
      <c r="G35" s="13" t="b">
        <v>0</v>
      </c>
      <c r="H35" t="s">
        <v>100</v>
      </c>
      <c r="I35" s="12"/>
    </row>
    <row r="36" spans="1:9" x14ac:dyDescent="0.2">
      <c r="A36">
        <v>35</v>
      </c>
      <c r="B36" t="s">
        <v>82</v>
      </c>
      <c r="C36">
        <v>1</v>
      </c>
      <c r="D36" t="s">
        <v>81</v>
      </c>
      <c r="E36" s="1">
        <v>203.99</v>
      </c>
      <c r="F36" s="1">
        <f>E36*C36</f>
        <v>203.99</v>
      </c>
      <c r="G36" s="13" t="b">
        <v>0</v>
      </c>
      <c r="H36" t="s">
        <v>105</v>
      </c>
      <c r="I36" s="11"/>
    </row>
    <row r="37" spans="1:9" ht="17" thickBot="1" x14ac:dyDescent="0.25">
      <c r="A37" s="5">
        <v>36</v>
      </c>
      <c r="B37" s="5" t="s">
        <v>83</v>
      </c>
      <c r="C37" s="5">
        <v>1</v>
      </c>
      <c r="D37" s="5" t="s">
        <v>84</v>
      </c>
      <c r="E37" s="6">
        <v>92.99</v>
      </c>
      <c r="F37" s="6">
        <f>E37*C37</f>
        <v>92.99</v>
      </c>
      <c r="G37" s="14" t="b">
        <v>0</v>
      </c>
      <c r="H37" s="5" t="s">
        <v>105</v>
      </c>
      <c r="I37" s="24"/>
    </row>
    <row r="38" spans="1:9" x14ac:dyDescent="0.2">
      <c r="A38" s="7" t="s">
        <v>71</v>
      </c>
      <c r="B38" s="8"/>
      <c r="C38" s="8"/>
      <c r="D38" s="8"/>
      <c r="E38" s="9"/>
      <c r="F38" s="4">
        <f>SUM(F2:F37)</f>
        <v>6728.0399999999991</v>
      </c>
      <c r="G38" s="22"/>
      <c r="H38" s="23"/>
      <c r="I38" s="23"/>
    </row>
    <row r="39" spans="1:9" x14ac:dyDescent="0.2">
      <c r="F39" s="2"/>
      <c r="G39" s="2"/>
      <c r="H39" s="2"/>
      <c r="I39" s="2"/>
    </row>
  </sheetData>
  <mergeCells count="4">
    <mergeCell ref="A38:E38"/>
    <mergeCell ref="K3:L3"/>
    <mergeCell ref="K2:L2"/>
    <mergeCell ref="G38:I38"/>
  </mergeCells>
  <pageMargins left="0.7" right="0.7" top="0.75" bottom="0.75" header="0.3" footer="0.3"/>
  <pageSetup scale="32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Thomas</dc:creator>
  <cp:lastModifiedBy>Jacob Thomas</cp:lastModifiedBy>
  <dcterms:created xsi:type="dcterms:W3CDTF">2026-06-15T01:15:42Z</dcterms:created>
  <dcterms:modified xsi:type="dcterms:W3CDTF">2026-06-16T21:19:45Z</dcterms:modified>
</cp:coreProperties>
</file>